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录" sheetId="1" state="visible" r:id="rId1"/>
    <sheet name="城乡发展核心指标" sheetId="2" state="visible" r:id="rId2"/>
    <sheet name="各设区市横向比较" sheetId="3" state="visible" r:id="rId3"/>
    <sheet name="城乡公共服务差距" sheetId="4" state="visible" r:id="rId4"/>
    <sheet name="耦合协调度测算" sheetId="5" state="visible" r:id="rId5"/>
    <sheet name="各市耦合协调度" sheetId="6" state="visible" r:id="rId6"/>
    <sheet name="准则层障碍度" sheetId="7" state="visible" r:id="rId7"/>
    <sheet name="指标层障碍因子" sheetId="8" state="visible" r:id="rId8"/>
    <sheet name="地理探测器结果" sheetId="9" state="visible" r:id="rId9"/>
    <sheet name="评价指标体系" sheetId="10" state="visible" r:id="rId10"/>
  </sheets>
  <definedNames>
    <definedName name="_xlnm.Print_Titles" localSheetId="0">'目录'!$1:$2</definedName>
    <definedName name="_xlnm.Print_Titles" localSheetId="1">'城乡发展核心指标'!$1:$2</definedName>
    <definedName name="_xlnm.Print_Titles" localSheetId="2">'各设区市横向比较'!$1:$2</definedName>
    <definedName name="_xlnm.Print_Titles" localSheetId="3">'城乡公共服务差距'!$1:$2</definedName>
    <definedName name="_xlnm.Print_Titles" localSheetId="4">'耦合协调度测算'!$1:$2</definedName>
    <definedName name="_xlnm.Print_Titles" localSheetId="5">'各市耦合协调度'!$1:$2</definedName>
    <definedName name="_xlnm.Print_Titles" localSheetId="6">'准则层障碍度'!$1:$2</definedName>
    <definedName name="_xlnm.Print_Titles" localSheetId="7">'指标层障碍因子'!$1:$2</definedName>
    <definedName name="_xlnm.Print_Titles" localSheetId="8">'地理探测器结果'!$1:$2</definedName>
    <definedName name="_xlnm.Print_Titles" localSheetId="9">'评价指标体系'!$1:$2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b val="1"/>
      <color rgb="00FFFFFF"/>
      <sz val="11"/>
    </font>
    <font>
      <name val="Microsoft YaHei"/>
      <color rgb="00000000"/>
      <sz val="10"/>
    </font>
    <font>
      <name val="Microsoft YaHei"/>
      <i val="1"/>
      <color rgb="00666666"/>
      <sz val="9"/>
    </font>
    <font>
      <name val="Microsoft YaHei"/>
      <b val="1"/>
      <color rgb="00FFFFFF"/>
      <sz val="12"/>
    </font>
    <font>
      <name val="Microsoft YaHei"/>
      <b val="1"/>
      <color rgb="00000000"/>
      <sz val="10"/>
    </font>
    <font>
      <name val="Microsoft YaHei"/>
      <b val="1"/>
      <color rgb="00002F6C"/>
      <sz val="10"/>
    </font>
    <font>
      <name val="Microsoft YaHei"/>
      <b val="1"/>
      <color rgb="00FFFFFF"/>
      <sz val="10"/>
    </font>
    <font>
      <name val="Microsoft YaHei"/>
      <b val="1"/>
      <color rgb="00C0392B"/>
      <sz val="10"/>
    </font>
    <font>
      <name val="Microsoft YaHei"/>
      <b val="1"/>
      <color rgb="00FFFFFF"/>
      <sz val="13"/>
    </font>
    <font>
      <name val="Microsoft YaHei"/>
      <b val="1"/>
      <color rgb="0022883E"/>
      <sz val="10"/>
    </font>
    <font>
      <name val="Microsoft YaHei"/>
      <color rgb="0022883E"/>
      <sz val="10"/>
    </font>
    <font>
      <name val="Microsoft YaHei"/>
      <b val="1"/>
      <color rgb="00FFFFFF"/>
      <sz val="9"/>
    </font>
  </fonts>
  <fills count="13">
    <fill>
      <patternFill/>
    </fill>
    <fill>
      <patternFill patternType="gray125"/>
    </fill>
    <fill>
      <patternFill patternType="solid">
        <fgColor rgb="00002F6C"/>
      </patternFill>
    </fill>
    <fill>
      <patternFill patternType="solid">
        <fgColor rgb="004682B4"/>
      </patternFill>
    </fill>
    <fill>
      <patternFill patternType="solid">
        <fgColor rgb="001A5276"/>
      </patternFill>
    </fill>
    <fill>
      <patternFill patternType="solid">
        <fgColor rgb="00EBF3FD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DDEEFF"/>
      </patternFill>
    </fill>
    <fill>
      <patternFill patternType="solid">
        <fgColor rgb="00FDEBD0"/>
      </patternFill>
    </fill>
    <fill>
      <patternFill patternType="solid">
        <fgColor rgb="00D6EAF8"/>
      </patternFill>
    </fill>
    <fill>
      <patternFill patternType="solid">
        <fgColor rgb="00FADBD8"/>
      </patternFill>
    </fill>
    <fill>
      <patternFill patternType="solid">
        <fgColor rgb="00D5F5E3"/>
      </patternFill>
    </fill>
  </fills>
  <borders count="9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8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河北省城乡居民收入变化趋势（2011—2023）</a:t>
            </a:r>
          </a:p>
        </rich>
      </tx>
    </title>
    <plotArea>
      <lineChart>
        <grouping val="standard"/>
        <ser>
          <idx val="0"/>
          <order val="0"/>
          <tx>
            <strRef>
              <f>'城乡发展核心指标'!C2</f>
            </strRef>
          </tx>
          <spPr>
            <a:ln>
              <a:solidFill>
                <a:srgbClr val="002F6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'城乡发展核心指标'!$A$3:$A$15</f>
            </numRef>
          </cat>
          <val>
            <numRef>
              <f>'城乡发展核心指标'!$C$3:$C$15</f>
            </numRef>
          </val>
        </ser>
        <ser>
          <idx val="1"/>
          <order val="1"/>
          <tx>
            <strRef>
              <f>'城乡发展核心指标'!D2</f>
            </strRef>
          </tx>
          <spPr>
            <a:ln>
              <a:solidFill>
                <a:srgbClr val="C039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'城乡发展核心指标'!$A$3:$A$15</f>
            </numRef>
          </cat>
          <val>
            <numRef>
              <f>'城乡发展核心指标'!$D$3:$D$15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年份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人均可支配收入（元）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2023年河北省各设区市城乡收入比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'各设区市横向比较'!D2</f>
            </strRef>
          </tx>
          <spPr>
            <a:solidFill>
              <a:srgbClr val="4682B4"/>
            </a:solidFill>
            <a:ln>
              <a:prstDash val="solid"/>
            </a:ln>
          </spPr>
          <cat>
            <numRef>
              <f>'各设区市横向比较'!$A$3:$A$13</f>
            </numRef>
          </cat>
          <val>
            <numRef>
              <f>'各设区市横向比较'!$D$3:$D$13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1.8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城乡收入比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河北省城乡耦合协调度变化趋势（2011—2023）</a:t>
            </a:r>
          </a:p>
        </rich>
      </tx>
    </title>
    <plotArea>
      <lineChart>
        <grouping val="standard"/>
        <ser>
          <idx val="0"/>
          <order val="0"/>
          <tx>
            <strRef>
              <f>'耦合协调度测算'!F2</f>
            </strRef>
          </tx>
          <spPr>
            <a:ln w="25000">
              <a:solidFill>
                <a:srgbClr val="002F6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'耦合协调度测算'!$A$3:$A$15</f>
            </numRef>
          </cat>
          <val>
            <numRef>
              <f>'耦合协调度测算'!$F$3:$F$15</f>
            </numRef>
          </val>
        </ser>
        <ser>
          <idx val="1"/>
          <order val="1"/>
          <tx>
            <strRef>
              <f>'耦合协调度测算'!B2</f>
            </strRef>
          </tx>
          <spPr>
            <a:ln>
              <a:solidFill>
                <a:srgbClr val="4682B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'耦合协调度测算'!$A$3:$A$15</f>
            </numRef>
          </cat>
          <val>
            <numRef>
              <f>'耦合协调度测算'!$B$3:$B$15</f>
            </numRef>
          </val>
        </ser>
        <ser>
          <idx val="2"/>
          <order val="2"/>
          <tx>
            <strRef>
              <f>'耦合协调度测算'!C2</f>
            </strRef>
          </tx>
          <spPr>
            <a:ln>
              <a:solidFill>
                <a:srgbClr val="C039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'耦合协调度测算'!$A$3:$A$15</f>
            </numRef>
          </cat>
          <val>
            <numRef>
              <f>'耦合协调度测算'!$C$3:$C$15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.75"/>
          <min val="0.45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耦合协调度 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各驱动因素q值变化趋势（2015—2023）</a:t>
            </a:r>
          </a:p>
        </rich>
      </tx>
    </title>
    <plotArea>
      <lineChart>
        <grouping val="standard"/>
        <ser>
          <idx val="0"/>
          <order val="0"/>
          <tx>
            <strRef>
              <f>'地理探测器结果'!B2</f>
            </strRef>
          </tx>
          <spPr>
            <a:ln>
              <a:solidFill>
                <a:srgbClr val="002F6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'地理探测器结果'!$A$3:$A$7</f>
            </numRef>
          </cat>
          <val>
            <numRef>
              <f>'地理探测器结果'!$B$3:$B$7</f>
            </numRef>
          </val>
        </ser>
        <ser>
          <idx val="1"/>
          <order val="1"/>
          <tx>
            <strRef>
              <f>'地理探测器结果'!C2</f>
            </strRef>
          </tx>
          <spPr>
            <a:ln>
              <a:solidFill>
                <a:srgbClr val="4682B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'地理探测器结果'!$A$3:$A$7</f>
            </numRef>
          </cat>
          <val>
            <numRef>
              <f>'地理探测器结果'!$C$3:$C$7</f>
            </numRef>
          </val>
        </ser>
        <ser>
          <idx val="2"/>
          <order val="2"/>
          <tx>
            <strRef>
              <f>'地理探测器结果'!D2</f>
            </strRef>
          </tx>
          <spPr>
            <a:ln>
              <a:solidFill>
                <a:srgbClr val="D4AC0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'地理探测器结果'!$A$3:$A$7</f>
            </numRef>
          </cat>
          <val>
            <numRef>
              <f>'地理探测器结果'!$D$3:$D$7</f>
            </numRef>
          </val>
        </ser>
        <ser>
          <idx val="3"/>
          <order val="3"/>
          <tx>
            <strRef>
              <f>'地理探测器结果'!E2</f>
            </strRef>
          </tx>
          <spPr>
            <a:ln>
              <a:solidFill>
                <a:srgbClr val="C039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'地理探测器结果'!$A$3:$A$7</f>
            </numRef>
          </cat>
          <val>
            <numRef>
              <f>'地理探测器结果'!$E$3:$E$7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.85"/>
          <min val="0.25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792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20" customWidth="1" min="3" max="3"/>
  </cols>
  <sheetData>
    <row r="1" ht="40" customHeight="1">
      <c r="A1" s="1" t="inlineStr">
        <is>
          <t>河北省城乡协同发展调研报告 — 数据汇总</t>
        </is>
      </c>
      <c r="B1" s="2" t="n"/>
      <c r="C1" s="3" t="n"/>
    </row>
    <row r="2" ht="24" customHeight="1">
      <c r="A2" s="4" t="inlineStr">
        <is>
          <t>京津冀协同发展背景下河北省城乡融合发展现状、机制与路径研究</t>
        </is>
      </c>
      <c r="B2" s="2" t="n"/>
      <c r="C2" s="3" t="n"/>
    </row>
    <row r="3" ht="18" customHeight="1"/>
    <row r="4" ht="18" customHeight="1">
      <c r="A4" s="5" t="inlineStr">
        <is>
          <t>序号</t>
        </is>
      </c>
      <c r="B4" s="5" t="inlineStr">
        <is>
          <t>工作表名称</t>
        </is>
      </c>
      <c r="C4" s="5" t="inlineStr">
        <is>
          <t>主要内容</t>
        </is>
      </c>
    </row>
    <row r="5" ht="18" customHeight="1">
      <c r="A5" s="6" t="inlineStr">
        <is>
          <t>1</t>
        </is>
      </c>
      <c r="B5" s="6" t="inlineStr">
        <is>
          <t>城乡发展核心指标</t>
        </is>
      </c>
      <c r="C5" s="6" t="inlineStr">
        <is>
          <t>2011—2023年城镇化率、城乡居民收入等核心指标时序数据</t>
        </is>
      </c>
    </row>
    <row r="6" ht="18" customHeight="1">
      <c r="A6" s="7" t="inlineStr">
        <is>
          <t>2</t>
        </is>
      </c>
      <c r="B6" s="7" t="inlineStr">
        <is>
          <t>各设区市横向比较</t>
        </is>
      </c>
      <c r="C6" s="7" t="inlineStr">
        <is>
          <t>2023年河北省11个设区市城乡发展主要指标对比</t>
        </is>
      </c>
    </row>
    <row r="7" ht="18" customHeight="1">
      <c r="A7" s="6" t="inlineStr">
        <is>
          <t>3</t>
        </is>
      </c>
      <c r="B7" s="6" t="inlineStr">
        <is>
          <t>城乡公共服务差距</t>
        </is>
      </c>
      <c r="C7" s="6" t="inlineStr">
        <is>
          <t>2023年城乡公共服务均等化程度8项对比指标</t>
        </is>
      </c>
    </row>
    <row r="8" ht="18" customHeight="1">
      <c r="A8" s="7" t="inlineStr">
        <is>
          <t>4</t>
        </is>
      </c>
      <c r="B8" s="7" t="inlineStr">
        <is>
          <t>耦合协调度测算</t>
        </is>
      </c>
      <c r="C8" s="7" t="inlineStr">
        <is>
          <t>2011—2023年耦合协调度逐年测算全结果</t>
        </is>
      </c>
    </row>
    <row r="9" ht="18" customHeight="1">
      <c r="A9" s="6" t="inlineStr">
        <is>
          <t>5</t>
        </is>
      </c>
      <c r="B9" s="6" t="inlineStr">
        <is>
          <t>各市耦合协调度</t>
        </is>
      </c>
      <c r="C9" s="6" t="inlineStr">
        <is>
          <t>2023年11个设区市耦合协调度及类型</t>
        </is>
      </c>
    </row>
    <row r="10" ht="18" customHeight="1">
      <c r="A10" s="7" t="inlineStr">
        <is>
          <t>6</t>
        </is>
      </c>
      <c r="B10" s="7" t="inlineStr">
        <is>
          <t>准则层障碍度</t>
        </is>
      </c>
      <c r="C10" s="7" t="inlineStr">
        <is>
          <t>新型城镇化与乡村振兴准则层障碍度（代表年份）</t>
        </is>
      </c>
    </row>
    <row r="11" ht="18" customHeight="1">
      <c r="A11" s="6" t="inlineStr">
        <is>
          <t>7</t>
        </is>
      </c>
      <c r="B11" s="6" t="inlineStr">
        <is>
          <t>指标层障碍因子</t>
        </is>
      </c>
      <c r="C11" s="6" t="inlineStr">
        <is>
          <t>2023年前五位关键障碍因子</t>
        </is>
      </c>
    </row>
    <row r="12" ht="18" customHeight="1">
      <c r="A12" s="7" t="inlineStr">
        <is>
          <t>8</t>
        </is>
      </c>
      <c r="B12" s="7" t="inlineStr">
        <is>
          <t>地理探测器结果</t>
        </is>
      </c>
      <c r="C12" s="7" t="inlineStr">
        <is>
          <t>2015—2023年四类外部驱动因素q值</t>
        </is>
      </c>
    </row>
    <row r="13" ht="18" customHeight="1">
      <c r="A13" s="6" t="inlineStr">
        <is>
          <t>9</t>
        </is>
      </c>
      <c r="B13" s="6" t="inlineStr">
        <is>
          <t>评价指标体系</t>
        </is>
      </c>
      <c r="C13" s="6" t="inlineStr">
        <is>
          <t>28项综合评价指标的代码、名称、属性与参考权重</t>
        </is>
      </c>
    </row>
    <row r="14" ht="18" customHeight="1"/>
    <row r="15">
      <c r="A15" s="8" t="inlineStr">
        <is>
          <t>数据来源：《河北省统计年鉴》《中国农村统计年鉴》《河北省城乡建设统计年鉴》及各设区市统计年鉴（2011—2024）</t>
        </is>
      </c>
    </row>
  </sheetData>
  <mergeCells count="3">
    <mergeCell ref="A1:C1"/>
    <mergeCell ref="A2:C2"/>
    <mergeCell ref="A15:C15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24" customWidth="1" min="4" max="4"/>
    <col width="12" customWidth="1" min="5" max="5"/>
    <col width="18" customWidth="1" min="6" max="6"/>
    <col width="18" customWidth="1" min="7" max="7"/>
  </cols>
  <sheetData>
    <row r="1">
      <c r="A1" s="9" t="inlineStr">
        <is>
          <t>表1  河北省城乡发展核心指标（2011—2023年）</t>
        </is>
      </c>
      <c r="B1" s="2" t="n"/>
      <c r="C1" s="2" t="n"/>
      <c r="D1" s="2" t="n"/>
      <c r="E1" s="2" t="n"/>
      <c r="F1" s="2" t="n"/>
      <c r="G1" s="3" t="n"/>
    </row>
    <row r="2">
      <c r="A2" s="10" t="inlineStr">
        <is>
          <t>年份</t>
        </is>
      </c>
      <c r="B2" s="10" t="inlineStr">
        <is>
          <t>城镇化率（%）</t>
        </is>
      </c>
      <c r="C2" s="10" t="inlineStr">
        <is>
          <t>城镇居民人均可支配收入（元）</t>
        </is>
      </c>
      <c r="D2" s="10" t="inlineStr">
        <is>
          <t>农村居民人均可支配收入（元）</t>
        </is>
      </c>
      <c r="E2" s="10" t="inlineStr">
        <is>
          <t>城乡收入比</t>
        </is>
      </c>
      <c r="F2" s="10" t="inlineStr">
        <is>
          <t>农业增加值占GDP（%）</t>
        </is>
      </c>
      <c r="G2" s="10" t="inlineStr">
        <is>
          <t>农村居民收入增速（%）</t>
        </is>
      </c>
    </row>
    <row r="3">
      <c r="A3" s="6" t="n">
        <v>2011</v>
      </c>
      <c r="B3" s="6" t="n">
        <v>45.6</v>
      </c>
      <c r="C3" s="6" t="n">
        <v>17288</v>
      </c>
      <c r="D3" s="6" t="n">
        <v>7119</v>
      </c>
      <c r="E3" s="6" t="n">
        <v>2.43</v>
      </c>
      <c r="F3" s="6" t="n">
        <v>12.4</v>
      </c>
      <c r="G3" s="6" t="n"/>
    </row>
    <row r="4">
      <c r="A4" s="7" t="n">
        <v>2012</v>
      </c>
      <c r="B4" s="7" t="n">
        <v>47</v>
      </c>
      <c r="C4" s="7" t="n">
        <v>18575</v>
      </c>
      <c r="D4" s="7" t="n">
        <v>8081</v>
      </c>
      <c r="E4" s="7" t="n">
        <v>2.3</v>
      </c>
      <c r="F4" s="7" t="n">
        <v>12.1</v>
      </c>
      <c r="G4" s="7" t="n">
        <v>13.5</v>
      </c>
    </row>
    <row r="5">
      <c r="A5" s="6" t="n">
        <v>2013</v>
      </c>
      <c r="B5" s="6" t="n">
        <v>48.1</v>
      </c>
      <c r="C5" s="6" t="n">
        <v>20543</v>
      </c>
      <c r="D5" s="6" t="n">
        <v>9108</v>
      </c>
      <c r="E5" s="6" t="n">
        <v>2.25</v>
      </c>
      <c r="F5" s="6" t="n">
        <v>11.8</v>
      </c>
      <c r="G5" s="6" t="n">
        <v>12.7</v>
      </c>
    </row>
    <row r="6">
      <c r="A6" s="7" t="n">
        <v>2014</v>
      </c>
      <c r="B6" s="7" t="n">
        <v>49.3</v>
      </c>
      <c r="C6" s="7" t="n">
        <v>22265</v>
      </c>
      <c r="D6" s="7" t="n">
        <v>10186</v>
      </c>
      <c r="E6" s="7" t="n">
        <v>2.19</v>
      </c>
      <c r="F6" s="7" t="n">
        <v>11.5</v>
      </c>
      <c r="G6" s="7" t="n">
        <v>11.8</v>
      </c>
    </row>
    <row r="7">
      <c r="A7" s="6" t="n">
        <v>2015</v>
      </c>
      <c r="B7" s="6" t="n">
        <v>51.3</v>
      </c>
      <c r="C7" s="6" t="n">
        <v>24141</v>
      </c>
      <c r="D7" s="6" t="n">
        <v>11050</v>
      </c>
      <c r="E7" s="6" t="n">
        <v>2.18</v>
      </c>
      <c r="F7" s="6" t="n">
        <v>11.2</v>
      </c>
      <c r="G7" s="6" t="n">
        <v>8.5</v>
      </c>
    </row>
    <row r="8">
      <c r="A8" s="7" t="n">
        <v>2016</v>
      </c>
      <c r="B8" s="7" t="n">
        <v>53.3</v>
      </c>
      <c r="C8" s="7" t="n">
        <v>26152</v>
      </c>
      <c r="D8" s="7" t="n">
        <v>11919</v>
      </c>
      <c r="E8" s="7" t="n">
        <v>2.2</v>
      </c>
      <c r="F8" s="7" t="n">
        <v>10.9</v>
      </c>
      <c r="G8" s="7" t="n">
        <v>7.9</v>
      </c>
    </row>
    <row r="9">
      <c r="A9" s="6" t="n">
        <v>2017</v>
      </c>
      <c r="B9" s="6" t="n">
        <v>55</v>
      </c>
      <c r="C9" s="6" t="n">
        <v>28115</v>
      </c>
      <c r="D9" s="6" t="n">
        <v>12882</v>
      </c>
      <c r="E9" s="6" t="n">
        <v>2.18</v>
      </c>
      <c r="F9" s="6" t="n">
        <v>10.7</v>
      </c>
      <c r="G9" s="6" t="n">
        <v>8.1</v>
      </c>
    </row>
    <row r="10">
      <c r="A10" s="7" t="n">
        <v>2018</v>
      </c>
      <c r="B10" s="7" t="n">
        <v>56.4</v>
      </c>
      <c r="C10" s="7" t="n">
        <v>30280</v>
      </c>
      <c r="D10" s="7" t="n">
        <v>14031</v>
      </c>
      <c r="E10" s="7" t="n">
        <v>2.16</v>
      </c>
      <c r="F10" s="7" t="n">
        <v>10.4</v>
      </c>
      <c r="G10" s="7" t="n">
        <v>9</v>
      </c>
    </row>
    <row r="11">
      <c r="A11" s="6" t="n">
        <v>2019</v>
      </c>
      <c r="B11" s="6" t="n">
        <v>57.6</v>
      </c>
      <c r="C11" s="6" t="n">
        <v>33253</v>
      </c>
      <c r="D11" s="6" t="n">
        <v>15373</v>
      </c>
      <c r="E11" s="6" t="n">
        <v>2.16</v>
      </c>
      <c r="F11" s="6" t="n">
        <v>10.1</v>
      </c>
      <c r="G11" s="6" t="n">
        <v>9.6</v>
      </c>
    </row>
    <row r="12">
      <c r="A12" s="7" t="n">
        <v>2020</v>
      </c>
      <c r="B12" s="7" t="n">
        <v>58.9</v>
      </c>
      <c r="C12" s="7" t="n">
        <v>34289</v>
      </c>
      <c r="D12" s="7" t="n">
        <v>16149</v>
      </c>
      <c r="E12" s="7" t="n">
        <v>2.12</v>
      </c>
      <c r="F12" s="7" t="n">
        <v>10.3</v>
      </c>
      <c r="G12" s="7" t="n">
        <v>5</v>
      </c>
    </row>
    <row r="13">
      <c r="A13" s="6" t="n">
        <v>2021</v>
      </c>
      <c r="B13" s="6" t="n">
        <v>60</v>
      </c>
      <c r="C13" s="6" t="n">
        <v>37979</v>
      </c>
      <c r="D13" s="6" t="n">
        <v>17286</v>
      </c>
      <c r="E13" s="6" t="n">
        <v>2.2</v>
      </c>
      <c r="F13" s="6" t="n">
        <v>10.5</v>
      </c>
      <c r="G13" s="6" t="n">
        <v>7</v>
      </c>
    </row>
    <row r="14">
      <c r="A14" s="7" t="n">
        <v>2022</v>
      </c>
      <c r="B14" s="7" t="n">
        <v>62.6</v>
      </c>
      <c r="C14" s="7" t="n">
        <v>39425</v>
      </c>
      <c r="D14" s="7" t="n">
        <v>18185</v>
      </c>
      <c r="E14" s="7" t="n">
        <v>2.17</v>
      </c>
      <c r="F14" s="7" t="n">
        <v>10.3</v>
      </c>
      <c r="G14" s="7" t="n">
        <v>5.2</v>
      </c>
    </row>
    <row r="15">
      <c r="A15" s="11" t="n">
        <v>2023</v>
      </c>
      <c r="B15" s="6" t="n">
        <v>64.40000000000001</v>
      </c>
      <c r="C15" s="6" t="n">
        <v>40512</v>
      </c>
      <c r="D15" s="6" t="n">
        <v>18938</v>
      </c>
      <c r="E15" s="6" t="n">
        <v>2.26</v>
      </c>
      <c r="F15" s="6" t="n">
        <v>9.800000000000001</v>
      </c>
      <c r="G15" s="6" t="n">
        <v>4.1</v>
      </c>
    </row>
    <row r="17">
      <c r="A17" s="8" t="inlineStr">
        <is>
          <t>注：2020年受新冠疫情影响，农村居民收入增速有所回落；2023年城乡收入比略有回升，主要受城镇工资性收入增长较快影响。数据来源：《河北省统计年鉴（2024）》，部分数据经核算整理。</t>
        </is>
      </c>
    </row>
  </sheetData>
  <mergeCells count="2">
    <mergeCell ref="A1:G1"/>
    <mergeCell ref="A17:G17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12" customWidth="1" min="4" max="4"/>
    <col width="16" customWidth="1" min="5" max="5"/>
    <col width="14" customWidth="1" min="6" max="6"/>
    <col width="16" customWidth="1" min="7" max="7"/>
  </cols>
  <sheetData>
    <row r="1">
      <c r="A1" s="9" t="inlineStr">
        <is>
          <t>表2  2023年河北省各设区市城乡发展主要指标比较</t>
        </is>
      </c>
      <c r="B1" s="2" t="n"/>
      <c r="C1" s="2" t="n"/>
      <c r="D1" s="2" t="n"/>
      <c r="E1" s="2" t="n"/>
      <c r="F1" s="2" t="n"/>
      <c r="G1" s="3" t="n"/>
    </row>
    <row r="2">
      <c r="A2" s="10" t="inlineStr">
        <is>
          <t>地市</t>
        </is>
      </c>
      <c r="B2" s="10" t="inlineStr">
        <is>
          <t>城镇化率（%）</t>
        </is>
      </c>
      <c r="C2" s="10" t="inlineStr">
        <is>
          <t>农村人均可支配收入（元）</t>
        </is>
      </c>
      <c r="D2" s="10" t="inlineStr">
        <is>
          <t>城乡收入比</t>
        </is>
      </c>
      <c r="E2" s="10" t="inlineStr">
        <is>
          <t>农业产值占比（%）</t>
        </is>
      </c>
      <c r="F2" s="10" t="inlineStr">
        <is>
          <t>土地流转率（%）</t>
        </is>
      </c>
      <c r="G2" s="10" t="inlineStr">
        <is>
          <t>城乡协调类型（参考）</t>
        </is>
      </c>
    </row>
    <row r="3">
      <c r="A3" s="6" t="inlineStr">
        <is>
          <t>唐山</t>
        </is>
      </c>
      <c r="B3" s="6" t="n">
        <v>72.09999999999999</v>
      </c>
      <c r="C3" s="6" t="n">
        <v>23518</v>
      </c>
      <c r="D3" s="6" t="n">
        <v>1.98</v>
      </c>
      <c r="E3" s="6" t="n">
        <v>6.8</v>
      </c>
      <c r="F3" s="6" t="n">
        <v>55.7</v>
      </c>
      <c r="G3" s="12" t="inlineStr">
        <is>
          <t>高级协调</t>
        </is>
      </c>
    </row>
    <row r="4">
      <c r="A4" s="13" t="inlineStr">
        <is>
          <t>石家庄</t>
        </is>
      </c>
      <c r="B4" s="13" t="n">
        <v>70.2</v>
      </c>
      <c r="C4" s="13" t="n">
        <v>22305</v>
      </c>
      <c r="D4" s="13" t="n">
        <v>2.04</v>
      </c>
      <c r="E4" s="13" t="n">
        <v>7.5</v>
      </c>
      <c r="F4" s="13" t="n">
        <v>53.2</v>
      </c>
      <c r="G4" s="12" t="inlineStr">
        <is>
          <t>高级协调</t>
        </is>
      </c>
    </row>
    <row r="5">
      <c r="A5" s="6" t="inlineStr">
        <is>
          <t>廊坊</t>
        </is>
      </c>
      <c r="B5" s="6" t="n">
        <v>68.5</v>
      </c>
      <c r="C5" s="6" t="n">
        <v>21980</v>
      </c>
      <c r="D5" s="6" t="n">
        <v>2.16</v>
      </c>
      <c r="E5" s="6" t="n">
        <v>8.6</v>
      </c>
      <c r="F5" s="6" t="n">
        <v>51.3</v>
      </c>
      <c r="G5" s="12" t="inlineStr">
        <is>
          <t>高级协调</t>
        </is>
      </c>
    </row>
    <row r="6">
      <c r="A6" s="13" t="inlineStr">
        <is>
          <t>秦皇岛</t>
        </is>
      </c>
      <c r="B6" s="13" t="n">
        <v>66.8</v>
      </c>
      <c r="C6" s="13" t="n">
        <v>20105</v>
      </c>
      <c r="D6" s="13" t="n">
        <v>2.25</v>
      </c>
      <c r="E6" s="13" t="n">
        <v>9.699999999999999</v>
      </c>
      <c r="F6" s="13" t="n">
        <v>47.6</v>
      </c>
      <c r="G6" s="14" t="inlineStr">
        <is>
          <t>中级协调</t>
        </is>
      </c>
    </row>
    <row r="7">
      <c r="A7" s="6" t="inlineStr">
        <is>
          <t>邯郸</t>
        </is>
      </c>
      <c r="B7" s="6" t="n">
        <v>63.5</v>
      </c>
      <c r="C7" s="6" t="n">
        <v>18930</v>
      </c>
      <c r="D7" s="6" t="n">
        <v>2.2</v>
      </c>
      <c r="E7" s="6" t="n">
        <v>12.8</v>
      </c>
      <c r="F7" s="6" t="n">
        <v>44.9</v>
      </c>
      <c r="G7" s="14" t="inlineStr">
        <is>
          <t>中级协调</t>
        </is>
      </c>
    </row>
    <row r="8">
      <c r="A8" s="13" t="inlineStr">
        <is>
          <t>沧州</t>
        </is>
      </c>
      <c r="B8" s="13" t="n">
        <v>62.4</v>
      </c>
      <c r="C8" s="13" t="n">
        <v>19320</v>
      </c>
      <c r="D8" s="13" t="n">
        <v>2.21</v>
      </c>
      <c r="E8" s="13" t="n">
        <v>13.5</v>
      </c>
      <c r="F8" s="13" t="n">
        <v>42.5</v>
      </c>
      <c r="G8" s="14" t="inlineStr">
        <is>
          <t>中级协调</t>
        </is>
      </c>
    </row>
    <row r="9">
      <c r="A9" s="6" t="inlineStr">
        <is>
          <t>保定</t>
        </is>
      </c>
      <c r="B9" s="6" t="n">
        <v>59.3</v>
      </c>
      <c r="C9" s="6" t="n">
        <v>18640</v>
      </c>
      <c r="D9" s="6" t="n">
        <v>2.28</v>
      </c>
      <c r="E9" s="6" t="n">
        <v>11.3</v>
      </c>
      <c r="F9" s="6" t="n">
        <v>46.8</v>
      </c>
      <c r="G9" s="14" t="inlineStr">
        <is>
          <t>中级协调</t>
        </is>
      </c>
    </row>
    <row r="10">
      <c r="A10" s="13" t="inlineStr">
        <is>
          <t>邢台</t>
        </is>
      </c>
      <c r="B10" s="13" t="n">
        <v>57.8</v>
      </c>
      <c r="C10" s="13" t="n">
        <v>17870</v>
      </c>
      <c r="D10" s="13" t="n">
        <v>2.38</v>
      </c>
      <c r="E10" s="13" t="n">
        <v>14.2</v>
      </c>
      <c r="F10" s="13" t="n">
        <v>39.7</v>
      </c>
      <c r="G10" s="14" t="inlineStr">
        <is>
          <t>中级协调</t>
        </is>
      </c>
    </row>
    <row r="11">
      <c r="A11" s="6" t="inlineStr">
        <is>
          <t>衡水</t>
        </is>
      </c>
      <c r="B11" s="6" t="n">
        <v>57.2</v>
      </c>
      <c r="C11" s="6" t="n">
        <v>17540</v>
      </c>
      <c r="D11" s="6" t="n">
        <v>2.35</v>
      </c>
      <c r="E11" s="6" t="n">
        <v>17.8</v>
      </c>
      <c r="F11" s="6" t="n">
        <v>38.4</v>
      </c>
      <c r="G11" s="14" t="inlineStr">
        <is>
          <t>中级协调</t>
        </is>
      </c>
    </row>
    <row r="12">
      <c r="A12" s="13" t="inlineStr">
        <is>
          <t>张家口</t>
        </is>
      </c>
      <c r="B12" s="13" t="n">
        <v>54.1</v>
      </c>
      <c r="C12" s="13" t="n">
        <v>15830</v>
      </c>
      <c r="D12" s="13" t="n">
        <v>2.52</v>
      </c>
      <c r="E12" s="13" t="n">
        <v>19.3</v>
      </c>
      <c r="F12" s="13" t="n">
        <v>32.1</v>
      </c>
      <c r="G12" s="15" t="inlineStr">
        <is>
          <t>初级协调</t>
        </is>
      </c>
    </row>
    <row r="13">
      <c r="A13" s="6" t="inlineStr">
        <is>
          <t>承德</t>
        </is>
      </c>
      <c r="B13" s="6" t="n">
        <v>52.3</v>
      </c>
      <c r="C13" s="6" t="n">
        <v>15210</v>
      </c>
      <c r="D13" s="6" t="n">
        <v>2.58</v>
      </c>
      <c r="E13" s="6" t="n">
        <v>20.7</v>
      </c>
      <c r="F13" s="6" t="n">
        <v>29.8</v>
      </c>
      <c r="G13" s="15" t="inlineStr">
        <is>
          <t>初级协调</t>
        </is>
      </c>
    </row>
    <row r="14">
      <c r="A14" s="16" t="inlineStr">
        <is>
          <t>全省均值</t>
        </is>
      </c>
      <c r="B14" s="17" t="n">
        <v>64.40000000000001</v>
      </c>
      <c r="C14" s="17" t="n">
        <v>18938</v>
      </c>
      <c r="D14" s="17" t="n">
        <v>2.26</v>
      </c>
      <c r="E14" s="17" t="n">
        <v>9.800000000000001</v>
      </c>
      <c r="F14" s="17" t="n">
        <v>43.5</v>
      </c>
      <c r="G14" s="17" t="inlineStr">
        <is>
          <t>中级协调</t>
        </is>
      </c>
    </row>
    <row r="16">
      <c r="A16" s="8" t="inlineStr">
        <is>
          <t>说明：城乡协调类型依据耦合协调度D值判定（D≥0.7高级；0.6≤D&lt;0.7中级；0.5≤D&lt;0.6初级）；数据来源：各市2024年统计年鉴及政府工作报告，部分数据经估算。</t>
        </is>
      </c>
    </row>
  </sheetData>
  <mergeCells count="2">
    <mergeCell ref="A16:G16"/>
    <mergeCell ref="A1:G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20" customWidth="1" min="4" max="4"/>
  </cols>
  <sheetData>
    <row r="1">
      <c r="A1" s="9" t="inlineStr">
        <is>
          <t>表3  2023年河北省城乡公共服务均等化程度对比</t>
        </is>
      </c>
      <c r="B1" s="2" t="n"/>
      <c r="C1" s="2" t="n"/>
      <c r="D1" s="3" t="n"/>
    </row>
    <row r="2">
      <c r="A2" s="10" t="inlineStr">
        <is>
          <t>指标</t>
        </is>
      </c>
      <c r="B2" s="10" t="inlineStr">
        <is>
          <t>城镇</t>
        </is>
      </c>
      <c r="C2" s="10" t="inlineStr">
        <is>
          <t>农村</t>
        </is>
      </c>
      <c r="D2" s="10" t="inlineStr">
        <is>
          <t>城乡比值（城/乡）</t>
        </is>
      </c>
    </row>
    <row r="3">
      <c r="A3" s="6" t="inlineStr">
        <is>
          <t>每千人医疗卫生人员数（人）</t>
        </is>
      </c>
      <c r="B3" s="6" t="n">
        <v>8.699999999999999</v>
      </c>
      <c r="C3" s="6" t="n">
        <v>3.2</v>
      </c>
      <c r="D3" s="18" t="n">
        <v>2.72</v>
      </c>
    </row>
    <row r="4">
      <c r="A4" s="7" t="inlineStr">
        <is>
          <t>每千人床位数（张）</t>
        </is>
      </c>
      <c r="B4" s="7" t="n">
        <v>7.1</v>
      </c>
      <c r="C4" s="7" t="n">
        <v>2.6</v>
      </c>
      <c r="D4" s="18" t="n">
        <v>2.73</v>
      </c>
    </row>
    <row r="5">
      <c r="A5" s="6" t="inlineStr">
        <is>
          <t>幼儿园在园率（%）</t>
        </is>
      </c>
      <c r="B5" s="6" t="n">
        <v>92.3</v>
      </c>
      <c r="C5" s="6" t="n">
        <v>78.5</v>
      </c>
      <c r="D5" s="19" t="n">
        <v>1.18</v>
      </c>
    </row>
    <row r="6">
      <c r="A6" s="7" t="inlineStr">
        <is>
          <t>义务教育生师比（城/乡）</t>
        </is>
      </c>
      <c r="B6" s="7" t="n">
        <v>13.5</v>
      </c>
      <c r="C6" s="7" t="n">
        <v>17.8</v>
      </c>
      <c r="D6" s="19" t="n">
        <v>0.76</v>
      </c>
    </row>
    <row r="7">
      <c r="A7" s="6" t="inlineStr">
        <is>
          <t>互联网普及率（%）</t>
        </is>
      </c>
      <c r="B7" s="6" t="n">
        <v>89.59999999999999</v>
      </c>
      <c r="C7" s="6" t="n">
        <v>64.3</v>
      </c>
      <c r="D7" s="15" t="n">
        <v>1.39</v>
      </c>
    </row>
    <row r="8">
      <c r="A8" s="7" t="inlineStr">
        <is>
          <t>自来水普及率（%）</t>
        </is>
      </c>
      <c r="B8" s="7" t="n">
        <v>100</v>
      </c>
      <c r="C8" s="7" t="n">
        <v>87.59999999999999</v>
      </c>
      <c r="D8" s="19" t="n">
        <v>1.14</v>
      </c>
    </row>
    <row r="9">
      <c r="A9" s="6" t="inlineStr">
        <is>
          <t>生活垃圾处理率（%）</t>
        </is>
      </c>
      <c r="B9" s="6" t="n">
        <v>99.8</v>
      </c>
      <c r="C9" s="6" t="n">
        <v>73.40000000000001</v>
      </c>
      <c r="D9" s="15" t="n">
        <v>1.36</v>
      </c>
    </row>
    <row r="10">
      <c r="A10" s="7" t="inlineStr">
        <is>
          <t>人均道路面积（m²）</t>
        </is>
      </c>
      <c r="B10" s="7" t="n">
        <v>18.3</v>
      </c>
      <c r="C10" s="7" t="n">
        <v>8.699999999999999</v>
      </c>
      <c r="D10" s="18" t="n">
        <v>2.1</v>
      </c>
    </row>
    <row r="12">
      <c r="A12" s="8" t="inlineStr">
        <is>
          <t>注：红色底色（比值&gt;2.0）表示城乡差距较大，需重点关注；数据来源：《河北省卫生健康统计年鉴（2024）》《河北省教育统计年鉴（2024）》。</t>
        </is>
      </c>
    </row>
  </sheetData>
  <mergeCells count="2">
    <mergeCell ref="A1:D1"/>
    <mergeCell ref="A12:D12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4" customWidth="1" min="4" max="4"/>
    <col width="18" customWidth="1" min="5" max="5"/>
    <col width="16" customWidth="1" min="6" max="6"/>
    <col width="14" customWidth="1" min="7" max="7"/>
  </cols>
  <sheetData>
    <row r="1">
      <c r="A1" s="9" t="inlineStr">
        <is>
          <t>表4  2011—2023年河北省城乡耦合协调度测算结果</t>
        </is>
      </c>
      <c r="B1" s="2" t="n"/>
      <c r="C1" s="2" t="n"/>
      <c r="D1" s="2" t="n"/>
      <c r="E1" s="2" t="n"/>
      <c r="F1" s="2" t="n"/>
      <c r="G1" s="3" t="n"/>
    </row>
    <row r="2">
      <c r="A2" s="10" t="inlineStr">
        <is>
          <t>年份</t>
        </is>
      </c>
      <c r="B2" s="10" t="inlineStr">
        <is>
          <t>城镇化综合得分(U)</t>
        </is>
      </c>
      <c r="C2" s="10" t="inlineStr">
        <is>
          <t>乡村振兴综合得分(R)</t>
        </is>
      </c>
      <c r="D2" s="10" t="inlineStr">
        <is>
          <t>耦合度(C)</t>
        </is>
      </c>
      <c r="E2" s="10" t="inlineStr">
        <is>
          <t>综合调和指数(T)</t>
        </is>
      </c>
      <c r="F2" s="10" t="inlineStr">
        <is>
          <t>耦合协调度(D)</t>
        </is>
      </c>
      <c r="G2" s="10" t="inlineStr">
        <is>
          <t>协调类型</t>
        </is>
      </c>
    </row>
    <row r="3">
      <c r="A3" s="20" t="n">
        <v>2011</v>
      </c>
      <c r="B3" s="20" t="n">
        <v>0.271</v>
      </c>
      <c r="C3" s="20" t="n">
        <v>0.215</v>
      </c>
      <c r="D3" s="20" t="n">
        <v>0.963</v>
      </c>
      <c r="E3" s="20" t="n">
        <v>0.243</v>
      </c>
      <c r="F3" s="20" t="n">
        <v>0.484</v>
      </c>
      <c r="G3" s="21" t="inlineStr">
        <is>
          <t>濒临失调</t>
        </is>
      </c>
    </row>
    <row r="4">
      <c r="A4" s="22" t="n">
        <v>2012</v>
      </c>
      <c r="B4" s="22" t="n">
        <v>0.291</v>
      </c>
      <c r="C4" s="22" t="n">
        <v>0.238</v>
      </c>
      <c r="D4" s="22" t="n">
        <v>0.972</v>
      </c>
      <c r="E4" s="22" t="n">
        <v>0.264</v>
      </c>
      <c r="F4" s="22" t="n">
        <v>0.507</v>
      </c>
      <c r="G4" s="23" t="inlineStr">
        <is>
          <t>初级协调</t>
        </is>
      </c>
    </row>
    <row r="5">
      <c r="A5" s="20" t="n">
        <v>2013</v>
      </c>
      <c r="B5" s="20" t="n">
        <v>0.315</v>
      </c>
      <c r="C5" s="20" t="n">
        <v>0.252</v>
      </c>
      <c r="D5" s="20" t="n">
        <v>0.969</v>
      </c>
      <c r="E5" s="20" t="n">
        <v>0.284</v>
      </c>
      <c r="F5" s="20" t="n">
        <v>0.524</v>
      </c>
      <c r="G5" s="23" t="inlineStr">
        <is>
          <t>初级协调</t>
        </is>
      </c>
    </row>
    <row r="6">
      <c r="A6" s="22" t="n">
        <v>2014</v>
      </c>
      <c r="B6" s="22" t="n">
        <v>0.337</v>
      </c>
      <c r="C6" s="22" t="n">
        <v>0.268</v>
      </c>
      <c r="D6" s="22" t="n">
        <v>0.973</v>
      </c>
      <c r="E6" s="22" t="n">
        <v>0.302</v>
      </c>
      <c r="F6" s="22" t="n">
        <v>0.542</v>
      </c>
      <c r="G6" s="23" t="inlineStr">
        <is>
          <t>初级协调</t>
        </is>
      </c>
    </row>
    <row r="7">
      <c r="A7" s="20" t="n">
        <v>2015</v>
      </c>
      <c r="B7" s="20" t="n">
        <v>0.358</v>
      </c>
      <c r="C7" s="20" t="n">
        <v>0.285</v>
      </c>
      <c r="D7" s="20" t="n">
        <v>0.975</v>
      </c>
      <c r="E7" s="20" t="n">
        <v>0.321</v>
      </c>
      <c r="F7" s="20" t="n">
        <v>0.5600000000000001</v>
      </c>
      <c r="G7" s="23" t="inlineStr">
        <is>
          <t>初级协调</t>
        </is>
      </c>
    </row>
    <row r="8">
      <c r="A8" s="22" t="n">
        <v>2016</v>
      </c>
      <c r="B8" s="22" t="n">
        <v>0.381</v>
      </c>
      <c r="C8" s="22" t="n">
        <v>0.307</v>
      </c>
      <c r="D8" s="22" t="n">
        <v>0.979</v>
      </c>
      <c r="E8" s="22" t="n">
        <v>0.344</v>
      </c>
      <c r="F8" s="22" t="n">
        <v>0.58</v>
      </c>
      <c r="G8" s="23" t="inlineStr">
        <is>
          <t>初级协调</t>
        </is>
      </c>
    </row>
    <row r="9">
      <c r="A9" s="20" t="n">
        <v>2017</v>
      </c>
      <c r="B9" s="20" t="n">
        <v>0.404</v>
      </c>
      <c r="C9" s="20" t="n">
        <v>0.328</v>
      </c>
      <c r="D9" s="20" t="n">
        <v>0.981</v>
      </c>
      <c r="E9" s="20" t="n">
        <v>0.366</v>
      </c>
      <c r="F9" s="20" t="n">
        <v>0.599</v>
      </c>
      <c r="G9" s="23" t="inlineStr">
        <is>
          <t>初级协调</t>
        </is>
      </c>
    </row>
    <row r="10">
      <c r="A10" s="24" t="n">
        <v>2018</v>
      </c>
      <c r="B10" s="24" t="n">
        <v>0.425</v>
      </c>
      <c r="C10" s="24" t="n">
        <v>0.352</v>
      </c>
      <c r="D10" s="24" t="n">
        <v>0.984</v>
      </c>
      <c r="E10" s="24" t="n">
        <v>0.388</v>
      </c>
      <c r="F10" s="24" t="n">
        <v>0.618</v>
      </c>
      <c r="G10" s="25" t="inlineStr">
        <is>
          <t>中级协调</t>
        </is>
      </c>
    </row>
    <row r="11">
      <c r="A11" s="20" t="n">
        <v>2019</v>
      </c>
      <c r="B11" s="20" t="n">
        <v>0.449</v>
      </c>
      <c r="C11" s="20" t="n">
        <v>0.373</v>
      </c>
      <c r="D11" s="20" t="n">
        <v>0.985</v>
      </c>
      <c r="E11" s="20" t="n">
        <v>0.411</v>
      </c>
      <c r="F11" s="20" t="n">
        <v>0.636</v>
      </c>
      <c r="G11" s="26" t="inlineStr">
        <is>
          <t>中级协调</t>
        </is>
      </c>
    </row>
    <row r="12">
      <c r="A12" s="22" t="n">
        <v>2020</v>
      </c>
      <c r="B12" s="22" t="n">
        <v>0.461</v>
      </c>
      <c r="C12" s="22" t="n">
        <v>0.391</v>
      </c>
      <c r="D12" s="22" t="n">
        <v>0.988</v>
      </c>
      <c r="E12" s="22" t="n">
        <v>0.426</v>
      </c>
      <c r="F12" s="22" t="n">
        <v>0.648</v>
      </c>
      <c r="G12" s="26" t="inlineStr">
        <is>
          <t>中级协调</t>
        </is>
      </c>
    </row>
    <row r="13">
      <c r="A13" s="20" t="n">
        <v>2021</v>
      </c>
      <c r="B13" s="20" t="n">
        <v>0.473</v>
      </c>
      <c r="C13" s="20" t="n">
        <v>0.408</v>
      </c>
      <c r="D13" s="20" t="n">
        <v>0.987</v>
      </c>
      <c r="E13" s="20" t="n">
        <v>0.441</v>
      </c>
      <c r="F13" s="20" t="n">
        <v>0.659</v>
      </c>
      <c r="G13" s="26" t="inlineStr">
        <is>
          <t>中级协调</t>
        </is>
      </c>
    </row>
    <row r="14">
      <c r="A14" s="22" t="n">
        <v>2022</v>
      </c>
      <c r="B14" s="22" t="n">
        <v>0.485</v>
      </c>
      <c r="C14" s="22" t="n">
        <v>0.422</v>
      </c>
      <c r="D14" s="22" t="n">
        <v>0.988</v>
      </c>
      <c r="E14" s="22" t="n">
        <v>0.453</v>
      </c>
      <c r="F14" s="22" t="n">
        <v>0.669</v>
      </c>
      <c r="G14" s="26" t="inlineStr">
        <is>
          <t>中级协调</t>
        </is>
      </c>
    </row>
    <row r="15">
      <c r="A15" s="27" t="n">
        <v>2023</v>
      </c>
      <c r="B15" s="27" t="n">
        <v>0.496</v>
      </c>
      <c r="C15" s="27" t="n">
        <v>0.433</v>
      </c>
      <c r="D15" s="27" t="n">
        <v>0.989</v>
      </c>
      <c r="E15" s="27" t="n">
        <v>0.465</v>
      </c>
      <c r="F15" s="27" t="n">
        <v>0.677</v>
      </c>
      <c r="G15" s="25" t="inlineStr">
        <is>
          <t>中级协调</t>
        </is>
      </c>
    </row>
    <row r="17">
      <c r="A17" s="8" t="inlineStr">
        <is>
          <t>计算方法：耦合协调度 D = √(C×T)，其中 C 为耦合度，T = 0.5U + 0.5R；2018年为从初级协调跨越中级协调的关键转折年。</t>
        </is>
      </c>
    </row>
  </sheetData>
  <mergeCells count="2">
    <mergeCell ref="A1:G1"/>
    <mergeCell ref="A17:G17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4" customWidth="1" min="5" max="5"/>
    <col width="22" customWidth="1" min="6" max="6"/>
  </cols>
  <sheetData>
    <row r="1">
      <c r="A1" s="9" t="inlineStr">
        <is>
          <t>表5  2023年河北省各设区市城乡耦合协调度及类型</t>
        </is>
      </c>
      <c r="B1" s="2" t="n"/>
      <c r="C1" s="2" t="n"/>
      <c r="D1" s="2" t="n"/>
      <c r="E1" s="2" t="n"/>
      <c r="F1" s="3" t="n"/>
    </row>
    <row r="2">
      <c r="A2" s="10" t="inlineStr">
        <is>
          <t>地市</t>
        </is>
      </c>
      <c r="B2" s="10" t="inlineStr">
        <is>
          <t>城镇化得分(U)</t>
        </is>
      </c>
      <c r="C2" s="10" t="inlineStr">
        <is>
          <t>乡村振兴得分(R)</t>
        </is>
      </c>
      <c r="D2" s="10" t="inlineStr">
        <is>
          <t>耦合协调度(D)</t>
        </is>
      </c>
      <c r="E2" s="10" t="inlineStr">
        <is>
          <t>协调类型</t>
        </is>
      </c>
      <c r="F2" s="10" t="inlineStr">
        <is>
          <t>U-R差值（滞后判断）</t>
        </is>
      </c>
    </row>
    <row r="3">
      <c r="A3" s="20" t="inlineStr">
        <is>
          <t>唐山</t>
        </is>
      </c>
      <c r="B3" s="20" t="n">
        <v>0.598</v>
      </c>
      <c r="C3" s="20" t="n">
        <v>0.521</v>
      </c>
      <c r="D3" s="20" t="n">
        <v>0.754</v>
      </c>
      <c r="E3" s="28" t="inlineStr">
        <is>
          <t>高级协调</t>
        </is>
      </c>
      <c r="F3" s="20" t="n">
        <v>0.077</v>
      </c>
    </row>
    <row r="4">
      <c r="A4" s="22" t="inlineStr">
        <is>
          <t>石家庄</t>
        </is>
      </c>
      <c r="B4" s="22" t="n">
        <v>0.572</v>
      </c>
      <c r="C4" s="22" t="n">
        <v>0.508</v>
      </c>
      <c r="D4" s="22" t="n">
        <v>0.736</v>
      </c>
      <c r="E4" s="28" t="inlineStr">
        <is>
          <t>高级协调</t>
        </is>
      </c>
      <c r="F4" s="22" t="n">
        <v>0.064</v>
      </c>
    </row>
    <row r="5">
      <c r="A5" s="20" t="inlineStr">
        <is>
          <t>廊坊</t>
        </is>
      </c>
      <c r="B5" s="20" t="n">
        <v>0.538</v>
      </c>
      <c r="C5" s="20" t="n">
        <v>0.476</v>
      </c>
      <c r="D5" s="20" t="n">
        <v>0.706</v>
      </c>
      <c r="E5" s="28" t="inlineStr">
        <is>
          <t>高级协调</t>
        </is>
      </c>
      <c r="F5" s="20" t="n">
        <v>0.062</v>
      </c>
    </row>
    <row r="6">
      <c r="A6" s="22" t="inlineStr">
        <is>
          <t>秦皇岛</t>
        </is>
      </c>
      <c r="B6" s="22" t="n">
        <v>0.497</v>
      </c>
      <c r="C6" s="22" t="n">
        <v>0.461</v>
      </c>
      <c r="D6" s="22" t="n">
        <v>0.677</v>
      </c>
      <c r="E6" s="29" t="inlineStr">
        <is>
          <t>中级协调</t>
        </is>
      </c>
      <c r="F6" s="22" t="n">
        <v>0.036</v>
      </c>
    </row>
    <row r="7">
      <c r="A7" s="20" t="inlineStr">
        <is>
          <t>邯郸</t>
        </is>
      </c>
      <c r="B7" s="20" t="n">
        <v>0.461</v>
      </c>
      <c r="C7" s="20" t="n">
        <v>0.423</v>
      </c>
      <c r="D7" s="20" t="n">
        <v>0.66</v>
      </c>
      <c r="E7" s="29" t="inlineStr">
        <is>
          <t>中级协调</t>
        </is>
      </c>
      <c r="F7" s="20" t="n">
        <v>0.038</v>
      </c>
    </row>
    <row r="8">
      <c r="A8" s="22" t="inlineStr">
        <is>
          <t>沧州</t>
        </is>
      </c>
      <c r="B8" s="22" t="n">
        <v>0.453</v>
      </c>
      <c r="C8" s="22" t="n">
        <v>0.421</v>
      </c>
      <c r="D8" s="22" t="n">
        <v>0.657</v>
      </c>
      <c r="E8" s="29" t="inlineStr">
        <is>
          <t>中级协调</t>
        </is>
      </c>
      <c r="F8" s="22" t="n">
        <v>0.032</v>
      </c>
    </row>
    <row r="9">
      <c r="A9" s="20" t="inlineStr">
        <is>
          <t>保定</t>
        </is>
      </c>
      <c r="B9" s="20" t="n">
        <v>0.468</v>
      </c>
      <c r="C9" s="20" t="n">
        <v>0.432</v>
      </c>
      <c r="D9" s="20" t="n">
        <v>0.668</v>
      </c>
      <c r="E9" s="29" t="inlineStr">
        <is>
          <t>中级协调</t>
        </is>
      </c>
      <c r="F9" s="20" t="n">
        <v>0.036</v>
      </c>
    </row>
    <row r="10">
      <c r="A10" s="22" t="inlineStr">
        <is>
          <t>邢台</t>
        </is>
      </c>
      <c r="B10" s="22" t="n">
        <v>0.427</v>
      </c>
      <c r="C10" s="22" t="n">
        <v>0.403</v>
      </c>
      <c r="D10" s="22" t="n">
        <v>0.634</v>
      </c>
      <c r="E10" s="29" t="inlineStr">
        <is>
          <t>中级协调</t>
        </is>
      </c>
      <c r="F10" s="22" t="n">
        <v>0.024</v>
      </c>
    </row>
    <row r="11">
      <c r="A11" s="20" t="inlineStr">
        <is>
          <t>衡水</t>
        </is>
      </c>
      <c r="B11" s="20" t="n">
        <v>0.418</v>
      </c>
      <c r="C11" s="20" t="n">
        <v>0.398</v>
      </c>
      <c r="D11" s="20" t="n">
        <v>0.627</v>
      </c>
      <c r="E11" s="29" t="inlineStr">
        <is>
          <t>中级协调</t>
        </is>
      </c>
      <c r="F11" s="20" t="n">
        <v>0.02</v>
      </c>
    </row>
    <row r="12">
      <c r="A12" s="22" t="inlineStr">
        <is>
          <t>张家口</t>
        </is>
      </c>
      <c r="B12" s="22" t="n">
        <v>0.382</v>
      </c>
      <c r="C12" s="22" t="n">
        <v>0.347</v>
      </c>
      <c r="D12" s="22" t="n">
        <v>0.579</v>
      </c>
      <c r="E12" s="30" t="inlineStr">
        <is>
          <t>初级协调</t>
        </is>
      </c>
      <c r="F12" s="22" t="n">
        <v>0.035</v>
      </c>
    </row>
    <row r="13">
      <c r="A13" s="20" t="inlineStr">
        <is>
          <t>承德</t>
        </is>
      </c>
      <c r="B13" s="20" t="n">
        <v>0.371</v>
      </c>
      <c r="C13" s="20" t="n">
        <v>0.331</v>
      </c>
      <c r="D13" s="20" t="n">
        <v>0.5600000000000001</v>
      </c>
      <c r="E13" s="30" t="inlineStr">
        <is>
          <t>初级协调</t>
        </is>
      </c>
      <c r="F13" s="20" t="n">
        <v>0.04</v>
      </c>
    </row>
    <row r="15">
      <c r="A15" s="8" t="inlineStr">
        <is>
          <t>注：U-R&gt;0.1判定为"乡村振兴滞后型"；本表所有地市均呈乡村振兴相对滞后特征。</t>
        </is>
      </c>
    </row>
  </sheetData>
  <mergeCells count="2">
    <mergeCell ref="A1:F1"/>
    <mergeCell ref="A15:F15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表6  河北省城乡协同发展准则层障碍度（代表年份）</t>
        </is>
      </c>
      <c r="B1" s="2" t="n"/>
      <c r="C1" s="2" t="n"/>
      <c r="D1" s="2" t="n"/>
      <c r="E1" s="2" t="n"/>
      <c r="F1" s="3" t="n"/>
    </row>
    <row r="2">
      <c r="A2" s="31" t="inlineStr">
        <is>
          <t>子系统</t>
        </is>
      </c>
      <c r="B2" s="31" t="inlineStr">
        <is>
          <t>准则层</t>
        </is>
      </c>
      <c r="C2" s="32" t="inlineStr">
        <is>
          <t>2011年障碍度</t>
        </is>
      </c>
      <c r="D2" s="32" t="inlineStr">
        <is>
          <t>2017年障碍度</t>
        </is>
      </c>
      <c r="E2" s="32" t="inlineStr">
        <is>
          <t>2023年障碍度</t>
        </is>
      </c>
      <c r="F2" s="31" t="inlineStr">
        <is>
          <t>趋势</t>
        </is>
      </c>
    </row>
    <row r="3">
      <c r="A3" s="33" t="n"/>
      <c r="B3" s="33" t="n"/>
      <c r="F3" s="33" t="n"/>
    </row>
    <row r="4">
      <c r="A4" s="34" t="inlineStr">
        <is>
          <t>新型城镇化</t>
        </is>
      </c>
      <c r="B4" s="6" t="inlineStr">
        <is>
          <t>人口城镇化</t>
        </is>
      </c>
      <c r="C4" s="6" t="n">
        <v>0.094</v>
      </c>
      <c r="D4" s="6" t="n">
        <v>0.083</v>
      </c>
      <c r="E4" s="6" t="n">
        <v>0.078</v>
      </c>
      <c r="F4" s="6" t="inlineStr">
        <is>
          <t>↓</t>
        </is>
      </c>
    </row>
    <row r="5">
      <c r="A5" s="35" t="n"/>
      <c r="B5" s="7" t="inlineStr">
        <is>
          <t>经济城镇化</t>
        </is>
      </c>
      <c r="C5" s="7" t="n">
        <v>0.312</v>
      </c>
      <c r="D5" s="7" t="n">
        <v>0.285</v>
      </c>
      <c r="E5" s="7" t="n">
        <v>0.271</v>
      </c>
      <c r="F5" s="7" t="inlineStr">
        <is>
          <t>↓</t>
        </is>
      </c>
    </row>
    <row r="6">
      <c r="A6" s="35" t="n"/>
      <c r="B6" s="6" t="inlineStr">
        <is>
          <t>社会城镇化</t>
        </is>
      </c>
      <c r="C6" s="6" t="n">
        <v>0.215</v>
      </c>
      <c r="D6" s="6" t="n">
        <v>0.238</v>
      </c>
      <c r="E6" s="6" t="n">
        <v>0.246</v>
      </c>
      <c r="F6" s="6" t="inlineStr">
        <is>
          <t>↑</t>
        </is>
      </c>
    </row>
    <row r="7">
      <c r="A7" s="35" t="n"/>
      <c r="B7" s="7" t="inlineStr">
        <is>
          <t>空间城镇化</t>
        </is>
      </c>
      <c r="C7" s="7" t="n">
        <v>0.249</v>
      </c>
      <c r="D7" s="7" t="n">
        <v>0.261</v>
      </c>
      <c r="E7" s="7" t="n">
        <v>0.275</v>
      </c>
      <c r="F7" s="7" t="inlineStr">
        <is>
          <t>↑</t>
        </is>
      </c>
    </row>
    <row r="8">
      <c r="A8" s="33" t="n"/>
      <c r="B8" s="6" t="inlineStr">
        <is>
          <t>生态城镇化</t>
        </is>
      </c>
      <c r="C8" s="6" t="n">
        <v>0.13</v>
      </c>
      <c r="D8" s="6" t="n">
        <v>0.133</v>
      </c>
      <c r="E8" s="6" t="n">
        <v>0.13</v>
      </c>
      <c r="F8" s="6" t="inlineStr">
        <is>
          <t>→</t>
        </is>
      </c>
    </row>
    <row r="9">
      <c r="A9" s="16" t="inlineStr">
        <is>
          <t>乡村全面振兴</t>
        </is>
      </c>
      <c r="B9" s="18" t="inlineStr">
        <is>
          <t>产业兴旺</t>
        </is>
      </c>
      <c r="C9" s="18" t="n">
        <v>0.382</v>
      </c>
      <c r="D9" s="18" t="n">
        <v>0.361</v>
      </c>
      <c r="E9" s="18" t="n">
        <v>0.348</v>
      </c>
      <c r="F9" s="18" t="inlineStr">
        <is>
          <t>↓(仍偏高)</t>
        </is>
      </c>
    </row>
    <row r="10">
      <c r="A10" s="35" t="n"/>
      <c r="B10" s="6" t="inlineStr">
        <is>
          <t>生态宜居</t>
        </is>
      </c>
      <c r="C10" s="6" t="n">
        <v>0.148</v>
      </c>
      <c r="D10" s="6" t="n">
        <v>0.157</v>
      </c>
      <c r="E10" s="6" t="n">
        <v>0.143</v>
      </c>
      <c r="F10" s="6" t="inlineStr">
        <is>
          <t>→</t>
        </is>
      </c>
    </row>
    <row r="11">
      <c r="A11" s="35" t="n"/>
      <c r="B11" s="7" t="inlineStr">
        <is>
          <t>乡风文明</t>
        </is>
      </c>
      <c r="C11" s="7" t="n">
        <v>0.137</v>
      </c>
      <c r="D11" s="7" t="n">
        <v>0.129</v>
      </c>
      <c r="E11" s="7" t="n">
        <v>0.124</v>
      </c>
      <c r="F11" s="7" t="inlineStr">
        <is>
          <t>↓</t>
        </is>
      </c>
    </row>
    <row r="12">
      <c r="A12" s="35" t="n"/>
      <c r="B12" s="6" t="inlineStr">
        <is>
          <t>治理有效</t>
        </is>
      </c>
      <c r="C12" s="6" t="n">
        <v>0.198</v>
      </c>
      <c r="D12" s="6" t="n">
        <v>0.211</v>
      </c>
      <c r="E12" s="6" t="n">
        <v>0.228</v>
      </c>
      <c r="F12" s="6" t="inlineStr">
        <is>
          <t>↑</t>
        </is>
      </c>
    </row>
    <row r="13">
      <c r="A13" s="33" t="n"/>
      <c r="B13" s="7" t="inlineStr">
        <is>
          <t>生活富裕</t>
        </is>
      </c>
      <c r="C13" s="7" t="n">
        <v>0.135</v>
      </c>
      <c r="D13" s="7" t="n">
        <v>0.142</v>
      </c>
      <c r="E13" s="7" t="n">
        <v>0.157</v>
      </c>
      <c r="F13" s="7" t="inlineStr">
        <is>
          <t>↑</t>
        </is>
      </c>
    </row>
    <row r="15">
      <c r="A15" s="8" t="inlineStr">
        <is>
          <t>注：障碍度值越大，对城乡协同发展的阻碍越强；红色底色为障碍度最高的核心约束因子；↑上升 ↓下降 →平稳。</t>
        </is>
      </c>
    </row>
  </sheetData>
  <mergeCells count="7">
    <mergeCell ref="A9:A13"/>
    <mergeCell ref="A1:F1"/>
    <mergeCell ref="A4:A8"/>
    <mergeCell ref="B2:B3"/>
    <mergeCell ref="A2:A3"/>
    <mergeCell ref="F2:F3"/>
    <mergeCell ref="A15:F15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2" customWidth="1" min="3" max="3"/>
    <col width="12" customWidth="1" min="4" max="4"/>
    <col width="16" customWidth="1" min="5" max="5"/>
  </cols>
  <sheetData>
    <row r="1">
      <c r="A1" s="9" t="inlineStr">
        <is>
          <t>表7  河北省城乡协同发展指标层前五位障碍因子（2023年）</t>
        </is>
      </c>
      <c r="B1" s="2" t="n"/>
      <c r="C1" s="2" t="n"/>
      <c r="D1" s="2" t="n"/>
      <c r="E1" s="3" t="n"/>
    </row>
    <row r="2">
      <c r="A2" s="10" t="inlineStr">
        <is>
          <t>排序</t>
        </is>
      </c>
      <c r="B2" s="10" t="inlineStr">
        <is>
          <t>指标代码</t>
        </is>
      </c>
      <c r="C2" s="10" t="inlineStr">
        <is>
          <t>指标名称</t>
        </is>
      </c>
      <c r="D2" s="10" t="inlineStr">
        <is>
          <t>障碍度</t>
        </is>
      </c>
      <c r="E2" s="10" t="inlineStr">
        <is>
          <t>所属子系统</t>
        </is>
      </c>
    </row>
    <row r="3">
      <c r="A3" s="6" t="n">
        <v>1</v>
      </c>
      <c r="B3" s="6" t="inlineStr">
        <is>
          <t>R3</t>
        </is>
      </c>
      <c r="C3" s="6" t="inlineStr">
        <is>
          <t>农产品加工业总产值/农业总产值</t>
        </is>
      </c>
      <c r="D3" s="11" t="n">
        <v>0.142</v>
      </c>
      <c r="E3" s="6" t="inlineStr">
        <is>
          <t>产业兴旺</t>
        </is>
      </c>
    </row>
    <row r="4">
      <c r="A4" s="7" t="n">
        <v>2</v>
      </c>
      <c r="B4" s="7" t="inlineStr">
        <is>
          <t>R15</t>
        </is>
      </c>
      <c r="C4" s="7" t="inlineStr">
        <is>
          <t>农村每万人卫生人员数</t>
        </is>
      </c>
      <c r="D4" s="36" t="n">
        <v>0.128</v>
      </c>
      <c r="E4" s="7" t="inlineStr">
        <is>
          <t>生活富裕</t>
        </is>
      </c>
    </row>
    <row r="5">
      <c r="A5" s="6" t="n">
        <v>3</v>
      </c>
      <c r="B5" s="6" t="inlineStr">
        <is>
          <t>U5</t>
        </is>
      </c>
      <c r="C5" s="6" t="inlineStr">
        <is>
          <t>人均一般公共预算收入</t>
        </is>
      </c>
      <c r="D5" s="11" t="n">
        <v>0.121</v>
      </c>
      <c r="E5" s="6" t="inlineStr">
        <is>
          <t>经济城镇化</t>
        </is>
      </c>
    </row>
    <row r="6">
      <c r="A6" s="7" t="n">
        <v>4</v>
      </c>
      <c r="B6" s="7" t="inlineStr">
        <is>
          <t>R2</t>
        </is>
      </c>
      <c r="C6" s="7" t="inlineStr">
        <is>
          <t>土地生产率（万元/亩）</t>
        </is>
      </c>
      <c r="D6" s="36" t="n">
        <v>0.119</v>
      </c>
      <c r="E6" s="7" t="inlineStr">
        <is>
          <t>产业兴旺</t>
        </is>
      </c>
    </row>
    <row r="7">
      <c r="A7" s="6" t="n">
        <v>5</v>
      </c>
      <c r="B7" s="6" t="inlineStr">
        <is>
          <t>U8</t>
        </is>
      </c>
      <c r="C7" s="6" t="inlineStr">
        <is>
          <t>建成区面积占区域面积比重</t>
        </is>
      </c>
      <c r="D7" s="11" t="n">
        <v>0.115</v>
      </c>
      <c r="E7" s="6" t="inlineStr">
        <is>
          <t>空间城镇化</t>
        </is>
      </c>
    </row>
    <row r="9">
      <c r="A9" s="8" t="inlineStr">
        <is>
          <t>注：前两位障碍因子均属乡村振兴子系统，印证产业兴旺和农村卫生服务是核心短板；土地生产率（R2）反映农业规模化经营水平不足。</t>
        </is>
      </c>
    </row>
  </sheetData>
  <mergeCells count="2">
    <mergeCell ref="A1:E1"/>
    <mergeCell ref="A9:E9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20" customWidth="1" min="5" max="5"/>
  </cols>
  <sheetData>
    <row r="1">
      <c r="A1" s="9" t="inlineStr">
        <is>
          <t>表8  河北省城乡耦合协调影响因素地理探测结果（q值）</t>
        </is>
      </c>
      <c r="B1" s="2" t="n"/>
      <c r="C1" s="2" t="n"/>
      <c r="D1" s="2" t="n"/>
      <c r="E1" s="3" t="n"/>
    </row>
    <row r="2">
      <c r="A2" s="10" t="inlineStr">
        <is>
          <t>年份</t>
        </is>
      </c>
      <c r="B2" s="10" t="inlineStr">
        <is>
          <t>市场化水平</t>
        </is>
      </c>
      <c r="C2" s="10" t="inlineStr">
        <is>
          <t>对外开放水平</t>
        </is>
      </c>
      <c r="D2" s="10" t="inlineStr">
        <is>
          <t>外商投资强度</t>
        </is>
      </c>
      <c r="E2" s="10" t="inlineStr">
        <is>
          <t>数字普惠金融水平</t>
        </is>
      </c>
    </row>
    <row r="3">
      <c r="A3" s="20" t="n">
        <v>2015</v>
      </c>
      <c r="B3" s="20" t="n">
        <v>0.538</v>
      </c>
      <c r="C3" s="20" t="n">
        <v>0.512</v>
      </c>
      <c r="D3" s="20" t="n">
        <v>0.341</v>
      </c>
      <c r="E3" s="20" t="n">
        <v>0.496</v>
      </c>
    </row>
    <row r="4">
      <c r="A4" s="22" t="n">
        <v>2017</v>
      </c>
      <c r="B4" s="22" t="n">
        <v>0.572</v>
      </c>
      <c r="C4" s="22" t="n">
        <v>0.548</v>
      </c>
      <c r="D4" s="22" t="n">
        <v>0.372</v>
      </c>
      <c r="E4" s="22" t="n">
        <v>0.581</v>
      </c>
    </row>
    <row r="5">
      <c r="A5" s="20" t="n">
        <v>2019</v>
      </c>
      <c r="B5" s="37" t="n">
        <v>0.601</v>
      </c>
      <c r="C5" s="20" t="n">
        <v>0.571</v>
      </c>
      <c r="D5" s="20" t="n">
        <v>0.358</v>
      </c>
      <c r="E5" s="20" t="n">
        <v>0.649</v>
      </c>
    </row>
    <row r="6">
      <c r="A6" s="22" t="n">
        <v>2021</v>
      </c>
      <c r="B6" s="37" t="n">
        <v>0.634</v>
      </c>
      <c r="C6" s="22" t="n">
        <v>0.587</v>
      </c>
      <c r="D6" s="22" t="n">
        <v>0.344</v>
      </c>
      <c r="E6" s="38" t="n">
        <v>0.712</v>
      </c>
    </row>
    <row r="7">
      <c r="A7" s="20" t="n">
        <v>2023</v>
      </c>
      <c r="B7" s="37" t="n">
        <v>0.658</v>
      </c>
      <c r="C7" s="20" t="n">
        <v>0.612</v>
      </c>
      <c r="D7" s="20" t="n">
        <v>0.317</v>
      </c>
      <c r="E7" s="38" t="n">
        <v>0.748</v>
      </c>
    </row>
    <row r="8">
      <c r="A8" s="39" t="inlineStr">
        <is>
          <t>显著性</t>
        </is>
      </c>
      <c r="B8" s="40" t="inlineStr">
        <is>
          <t>1%显著</t>
        </is>
      </c>
      <c r="C8" s="40" t="inlineStr">
        <is>
          <t>1%显著</t>
        </is>
      </c>
      <c r="D8" s="39" t="inlineStr">
        <is>
          <t>5%/10%显著</t>
        </is>
      </c>
      <c r="E8" s="40" t="inlineStr">
        <is>
          <t>1%显著</t>
        </is>
      </c>
    </row>
    <row r="10">
      <c r="A10" s="8" t="inlineStr">
        <is>
          <t>注：绿色底色表示q值≥0.7，为强解释力；所有年份均通过显著性检验；数字普惠金融（DF）解释力从2015年0.496持续上升至2023年0.748，成为第一驱动力。</t>
        </is>
      </c>
    </row>
  </sheetData>
  <mergeCells count="2">
    <mergeCell ref="A1:E1"/>
    <mergeCell ref="A10:E10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36" customWidth="1" min="4" max="4"/>
    <col width="8" customWidth="1" min="5" max="5"/>
    <col width="14" customWidth="1" min="6" max="6"/>
  </cols>
  <sheetData>
    <row r="1">
      <c r="A1" s="9" t="inlineStr">
        <is>
          <t>表9  河北省城乡协同发展综合评价指标体系（28项）</t>
        </is>
      </c>
      <c r="B1" s="2" t="n"/>
      <c r="C1" s="2" t="n"/>
      <c r="D1" s="2" t="n"/>
      <c r="E1" s="2" t="n"/>
      <c r="F1" s="3" t="n"/>
    </row>
    <row r="2">
      <c r="A2" s="10" t="inlineStr">
        <is>
          <t>系统层</t>
        </is>
      </c>
      <c r="B2" s="10" t="inlineStr">
        <is>
          <t>准则层</t>
        </is>
      </c>
      <c r="C2" s="10" t="inlineStr">
        <is>
          <t>代码</t>
        </is>
      </c>
      <c r="D2" s="10" t="inlineStr">
        <is>
          <t>指标名称</t>
        </is>
      </c>
      <c r="E2" s="10" t="inlineStr">
        <is>
          <t>属性</t>
        </is>
      </c>
      <c r="F2" s="10" t="inlineStr">
        <is>
          <t>参考权重</t>
        </is>
      </c>
    </row>
    <row r="3">
      <c r="A3" s="41" t="inlineStr">
        <is>
          <t>新型城镇化(U)</t>
        </is>
      </c>
      <c r="B3" s="42" t="inlineStr">
        <is>
          <t>人口城镇化</t>
        </is>
      </c>
      <c r="C3" s="6" t="inlineStr">
        <is>
          <t>U1</t>
        </is>
      </c>
      <c r="D3" s="6" t="inlineStr">
        <is>
          <t>常住人口城镇化率（%）</t>
        </is>
      </c>
      <c r="E3" s="43" t="inlineStr">
        <is>
          <t>+</t>
        </is>
      </c>
      <c r="F3" s="6" t="n">
        <v>0.0505</v>
      </c>
    </row>
    <row r="4">
      <c r="A4" s="35" t="n"/>
      <c r="B4" s="33" t="n"/>
      <c r="C4" s="7" t="inlineStr">
        <is>
          <t>U2</t>
        </is>
      </c>
      <c r="D4" s="7" t="inlineStr">
        <is>
          <t>二三产业从业人员占比（%）</t>
        </is>
      </c>
      <c r="E4" s="43" t="inlineStr">
        <is>
          <t>+</t>
        </is>
      </c>
      <c r="F4" s="7" t="n">
        <v>0.0501</v>
      </c>
    </row>
    <row r="5">
      <c r="A5" s="35" t="n"/>
      <c r="B5" s="42" t="inlineStr">
        <is>
          <t>经济城镇化</t>
        </is>
      </c>
      <c r="C5" s="6" t="inlineStr">
        <is>
          <t>U3</t>
        </is>
      </c>
      <c r="D5" s="6" t="inlineStr">
        <is>
          <t>人均地区生产总值（元）</t>
        </is>
      </c>
      <c r="E5" s="43" t="inlineStr">
        <is>
          <t>+</t>
        </is>
      </c>
      <c r="F5" s="6" t="n">
        <v>0.0374</v>
      </c>
    </row>
    <row r="6">
      <c r="A6" s="35" t="n"/>
      <c r="B6" s="35" t="n"/>
      <c r="C6" s="7" t="inlineStr">
        <is>
          <t>U4</t>
        </is>
      </c>
      <c r="D6" s="7" t="inlineStr">
        <is>
          <t>城镇居民人均可支配收入（元）</t>
        </is>
      </c>
      <c r="E6" s="43" t="inlineStr">
        <is>
          <t>+</t>
        </is>
      </c>
      <c r="F6" s="7" t="n">
        <v>0.0377</v>
      </c>
    </row>
    <row r="7">
      <c r="A7" s="35" t="n"/>
      <c r="B7" s="33" t="n"/>
      <c r="C7" s="6" t="inlineStr">
        <is>
          <t>U5</t>
        </is>
      </c>
      <c r="D7" s="6" t="inlineStr">
        <is>
          <t>人均一般公共预算收入（元）</t>
        </is>
      </c>
      <c r="E7" s="43" t="inlineStr">
        <is>
          <t>+</t>
        </is>
      </c>
      <c r="F7" s="6" t="n">
        <v>0.0444</v>
      </c>
    </row>
    <row r="8">
      <c r="A8" s="35" t="n"/>
      <c r="B8" s="42" t="inlineStr">
        <is>
          <t>社会城镇化</t>
        </is>
      </c>
      <c r="C8" s="7" t="inlineStr">
        <is>
          <t>U6</t>
        </is>
      </c>
      <c r="D8" s="7" t="inlineStr">
        <is>
          <t>每万人卫生机构床位数（张）</t>
        </is>
      </c>
      <c r="E8" s="43" t="inlineStr">
        <is>
          <t>+</t>
        </is>
      </c>
      <c r="F8" s="7" t="n">
        <v>0.0785</v>
      </c>
    </row>
    <row r="9">
      <c r="A9" s="35" t="n"/>
      <c r="B9" s="33" t="n"/>
      <c r="C9" s="6" t="inlineStr">
        <is>
          <t>U7</t>
        </is>
      </c>
      <c r="D9" s="6" t="inlineStr">
        <is>
          <t>教育支出占财政支出比重（%）</t>
        </is>
      </c>
      <c r="E9" s="43" t="inlineStr">
        <is>
          <t>+</t>
        </is>
      </c>
      <c r="F9" s="6" t="n">
        <v>0.0977</v>
      </c>
    </row>
    <row r="10">
      <c r="A10" s="35" t="n"/>
      <c r="B10" s="42" t="inlineStr">
        <is>
          <t>空间城镇化</t>
        </is>
      </c>
      <c r="C10" s="7" t="inlineStr">
        <is>
          <t>U8</t>
        </is>
      </c>
      <c r="D10" s="7" t="inlineStr">
        <is>
          <t>建成区面积占区域面积比重（%）</t>
        </is>
      </c>
      <c r="E10" s="43" t="inlineStr">
        <is>
          <t>+</t>
        </is>
      </c>
      <c r="F10" s="7" t="n">
        <v>0.056</v>
      </c>
    </row>
    <row r="11">
      <c r="A11" s="35" t="n"/>
      <c r="B11" s="35" t="n"/>
      <c r="C11" s="6" t="inlineStr">
        <is>
          <t>U9</t>
        </is>
      </c>
      <c r="D11" s="6" t="inlineStr">
        <is>
          <t>人均城市道路面积（m²）</t>
        </is>
      </c>
      <c r="E11" s="43" t="inlineStr">
        <is>
          <t>+</t>
        </is>
      </c>
      <c r="F11" s="6" t="n">
        <v>0.0887</v>
      </c>
    </row>
    <row r="12">
      <c r="A12" s="35" t="n"/>
      <c r="B12" s="33" t="n"/>
      <c r="C12" s="7" t="inlineStr">
        <is>
          <t>U10</t>
        </is>
      </c>
      <c r="D12" s="7" t="inlineStr">
        <is>
          <t>每万人公交车辆数（辆）</t>
        </is>
      </c>
      <c r="E12" s="43" t="inlineStr">
        <is>
          <t>+</t>
        </is>
      </c>
      <c r="F12" s="7" t="n">
        <v>0.0504</v>
      </c>
    </row>
    <row r="13">
      <c r="A13" s="35" t="n"/>
      <c r="B13" s="42" t="inlineStr">
        <is>
          <t>生态城镇化</t>
        </is>
      </c>
      <c r="C13" s="6" t="inlineStr">
        <is>
          <t>U11</t>
        </is>
      </c>
      <c r="D13" s="6" t="inlineStr">
        <is>
          <t>人均公园绿地面积（m²）</t>
        </is>
      </c>
      <c r="E13" s="43" t="inlineStr">
        <is>
          <t>+</t>
        </is>
      </c>
      <c r="F13" s="6" t="n">
        <v>0.065</v>
      </c>
    </row>
    <row r="14">
      <c r="A14" s="35" t="n"/>
      <c r="B14" s="35" t="n"/>
      <c r="C14" s="7" t="inlineStr">
        <is>
          <t>U12</t>
        </is>
      </c>
      <c r="D14" s="7" t="inlineStr">
        <is>
          <t>城市生活垃圾无害化处理率（%）</t>
        </is>
      </c>
      <c r="E14" s="43" t="inlineStr">
        <is>
          <t>+</t>
        </is>
      </c>
      <c r="F14" s="7" t="n">
        <v>0.0536</v>
      </c>
    </row>
    <row r="15">
      <c r="A15" s="33" t="n"/>
      <c r="B15" s="33" t="n"/>
      <c r="C15" s="6" t="inlineStr">
        <is>
          <t>U13</t>
        </is>
      </c>
      <c r="D15" s="6" t="inlineStr">
        <is>
          <t>年均PM₂.₅浓度（μg/m³）</t>
        </is>
      </c>
      <c r="E15" s="18" t="inlineStr">
        <is>
          <t>-</t>
        </is>
      </c>
      <c r="F15" s="6" t="n">
        <v>0.0735</v>
      </c>
    </row>
    <row r="16">
      <c r="A16" s="44" t="inlineStr">
        <is>
          <t>乡村全面振兴(R)</t>
        </is>
      </c>
      <c r="B16" s="42" t="inlineStr">
        <is>
          <t>产业兴旺</t>
        </is>
      </c>
      <c r="C16" s="7" t="inlineStr">
        <is>
          <t>R1</t>
        </is>
      </c>
      <c r="D16" s="7" t="inlineStr">
        <is>
          <t>二元对比系数</t>
        </is>
      </c>
      <c r="E16" s="43" t="inlineStr">
        <is>
          <t>+</t>
        </is>
      </c>
      <c r="F16" s="7" t="n">
        <v>0.0543</v>
      </c>
    </row>
    <row r="17">
      <c r="A17" s="35" t="n"/>
      <c r="B17" s="35" t="n"/>
      <c r="C17" s="6" t="inlineStr">
        <is>
          <t>R2</t>
        </is>
      </c>
      <c r="D17" s="6" t="inlineStr">
        <is>
          <t>土地生产率（万元/亩）</t>
        </is>
      </c>
      <c r="E17" s="43" t="inlineStr">
        <is>
          <t>+</t>
        </is>
      </c>
      <c r="F17" s="6" t="n">
        <v>0.0455</v>
      </c>
    </row>
    <row r="18">
      <c r="A18" s="35" t="n"/>
      <c r="B18" s="35" t="n"/>
      <c r="C18" s="7" t="inlineStr">
        <is>
          <t>R3</t>
        </is>
      </c>
      <c r="D18" s="7" t="inlineStr">
        <is>
          <t>农产品加工业总产值/农业总产值</t>
        </is>
      </c>
      <c r="E18" s="43" t="inlineStr">
        <is>
          <t>+</t>
        </is>
      </c>
      <c r="F18" s="7" t="n">
        <v>0.0449</v>
      </c>
    </row>
    <row r="19">
      <c r="A19" s="35" t="n"/>
      <c r="B19" s="33" t="n"/>
      <c r="C19" s="6" t="inlineStr">
        <is>
          <t>R4</t>
        </is>
      </c>
      <c r="D19" s="6" t="inlineStr">
        <is>
          <t>农户家庭土地流转比重（%）</t>
        </is>
      </c>
      <c r="E19" s="43" t="inlineStr">
        <is>
          <t>+</t>
        </is>
      </c>
      <c r="F19" s="6" t="n">
        <v>0.0466</v>
      </c>
    </row>
    <row r="20">
      <c r="A20" s="35" t="n"/>
      <c r="B20" s="42" t="inlineStr">
        <is>
          <t>生态宜居</t>
        </is>
      </c>
      <c r="C20" s="7" t="inlineStr">
        <is>
          <t>R5</t>
        </is>
      </c>
      <c r="D20" s="7" t="inlineStr">
        <is>
          <t>村庄绿化覆盖率（%）</t>
        </is>
      </c>
      <c r="E20" s="43" t="inlineStr">
        <is>
          <t>+</t>
        </is>
      </c>
      <c r="F20" s="7" t="n">
        <v>0.066</v>
      </c>
    </row>
    <row r="21">
      <c r="A21" s="35" t="n"/>
      <c r="B21" s="35" t="n"/>
      <c r="C21" s="6" t="inlineStr">
        <is>
          <t>R6</t>
        </is>
      </c>
      <c r="D21" s="6" t="inlineStr">
        <is>
          <t>化肥施用强度（万吨/千公顷）</t>
        </is>
      </c>
      <c r="E21" s="18" t="inlineStr">
        <is>
          <t>-</t>
        </is>
      </c>
      <c r="F21" s="6" t="n">
        <v>0.075</v>
      </c>
    </row>
    <row r="22">
      <c r="A22" s="35" t="n"/>
      <c r="B22" s="33" t="n"/>
      <c r="C22" s="7" t="inlineStr">
        <is>
          <t>R7</t>
        </is>
      </c>
      <c r="D22" s="7" t="inlineStr">
        <is>
          <t>农村生活污水处理率（%）</t>
        </is>
      </c>
      <c r="E22" s="43" t="inlineStr">
        <is>
          <t>+</t>
        </is>
      </c>
      <c r="F22" s="7" t="n">
        <v>0.06900000000000001</v>
      </c>
    </row>
    <row r="23">
      <c r="A23" s="35" t="n"/>
      <c r="B23" s="42" t="inlineStr">
        <is>
          <t>乡风文明</t>
        </is>
      </c>
      <c r="C23" s="6" t="inlineStr">
        <is>
          <t>R8</t>
        </is>
      </c>
      <c r="D23" s="6" t="inlineStr">
        <is>
          <t>每万人乡镇文化站数量（个）</t>
        </is>
      </c>
      <c r="E23" s="43" t="inlineStr">
        <is>
          <t>+</t>
        </is>
      </c>
      <c r="F23" s="6" t="n">
        <v>0.0624</v>
      </c>
    </row>
    <row r="24">
      <c r="A24" s="35" t="n"/>
      <c r="B24" s="33" t="n"/>
      <c r="C24" s="7" t="inlineStr">
        <is>
          <t>R9</t>
        </is>
      </c>
      <c r="D24" s="7" t="inlineStr">
        <is>
          <t>义务教育学校本科以上学历教师比重（%）</t>
        </is>
      </c>
      <c r="E24" s="43" t="inlineStr">
        <is>
          <t>+</t>
        </is>
      </c>
      <c r="F24" s="7" t="n">
        <v>0.0518</v>
      </c>
    </row>
    <row r="25">
      <c r="A25" s="35" t="n"/>
      <c r="B25" s="42" t="inlineStr">
        <is>
          <t>治理有效</t>
        </is>
      </c>
      <c r="C25" s="6" t="inlineStr">
        <is>
          <t>R10</t>
        </is>
      </c>
      <c r="D25" s="6" t="inlineStr">
        <is>
          <t>村委会成员专科及以上学历比重（%）</t>
        </is>
      </c>
      <c r="E25" s="43" t="inlineStr">
        <is>
          <t>+</t>
        </is>
      </c>
      <c r="F25" s="6" t="n">
        <v>0.0568</v>
      </c>
    </row>
    <row r="26">
      <c r="A26" s="35" t="n"/>
      <c r="B26" s="33" t="n"/>
      <c r="C26" s="7" t="inlineStr">
        <is>
          <t>R11</t>
        </is>
      </c>
      <c r="D26" s="7" t="inlineStr">
        <is>
          <t>已编制规划的乡镇比重（%）</t>
        </is>
      </c>
      <c r="E26" s="43" t="inlineStr">
        <is>
          <t>+</t>
        </is>
      </c>
      <c r="F26" s="7" t="n">
        <v>0.0769</v>
      </c>
    </row>
    <row r="27">
      <c r="A27" s="35" t="n"/>
      <c r="B27" s="42" t="inlineStr">
        <is>
          <t>生活富裕</t>
        </is>
      </c>
      <c r="C27" s="6" t="inlineStr">
        <is>
          <t>R12</t>
        </is>
      </c>
      <c r="D27" s="6" t="inlineStr">
        <is>
          <t>农村居民人均可支配收入（元）</t>
        </is>
      </c>
      <c r="E27" s="43" t="inlineStr">
        <is>
          <t>+</t>
        </is>
      </c>
      <c r="F27" s="6" t="n">
        <v>0.0513</v>
      </c>
    </row>
    <row r="28">
      <c r="A28" s="35" t="n"/>
      <c r="B28" s="35" t="n"/>
      <c r="C28" s="7" t="inlineStr">
        <is>
          <t>R13</t>
        </is>
      </c>
      <c r="D28" s="7" t="inlineStr">
        <is>
          <t>城乡居民收入比（逆指标）</t>
        </is>
      </c>
      <c r="E28" s="18" t="inlineStr">
        <is>
          <t>-</t>
        </is>
      </c>
      <c r="F28" s="7" t="n">
        <v>0.0688</v>
      </c>
    </row>
    <row r="29">
      <c r="A29" s="35" t="n"/>
      <c r="B29" s="35" t="n"/>
      <c r="C29" s="6" t="inlineStr">
        <is>
          <t>R14</t>
        </is>
      </c>
      <c r="D29" s="6" t="inlineStr">
        <is>
          <t>村庄道路硬化率（%）</t>
        </is>
      </c>
      <c r="E29" s="43" t="inlineStr">
        <is>
          <t>+</t>
        </is>
      </c>
      <c r="F29" s="6" t="n">
        <v>0.0535</v>
      </c>
    </row>
    <row r="30">
      <c r="A30" s="33" t="n"/>
      <c r="B30" s="33" t="n"/>
      <c r="C30" s="7" t="inlineStr">
        <is>
          <t>R15</t>
        </is>
      </c>
      <c r="D30" s="7" t="inlineStr">
        <is>
          <t>农村每万人拥有卫生人员数（人）</t>
        </is>
      </c>
      <c r="E30" s="43" t="inlineStr">
        <is>
          <t>+</t>
        </is>
      </c>
      <c r="F30" s="7" t="n">
        <v>0.0375</v>
      </c>
    </row>
    <row r="32">
      <c r="A32" s="8" t="inlineStr">
        <is>
          <t>注：参考权重基于熵权法与CRITIC法综合赋权（取平均值）；属性列"+"代表正向指标，"-"代表逆向指标（标准化时取倒数）。</t>
        </is>
      </c>
    </row>
  </sheetData>
  <mergeCells count="14">
    <mergeCell ref="B23:B24"/>
    <mergeCell ref="B10:B12"/>
    <mergeCell ref="B20:B22"/>
    <mergeCell ref="B3:B4"/>
    <mergeCell ref="A3:A15"/>
    <mergeCell ref="A1:F1"/>
    <mergeCell ref="A16:A30"/>
    <mergeCell ref="B13:B15"/>
    <mergeCell ref="A32:F32"/>
    <mergeCell ref="B8:B9"/>
    <mergeCell ref="B25:B26"/>
    <mergeCell ref="B27:B30"/>
    <mergeCell ref="B16:B19"/>
    <mergeCell ref="B5:B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2026-05-29T03:05:30Z</dcterms:created>
  <dcterms:modified xsi:type="dcterms:W3CDTF">2026-05-29T03:05:30Z</dcterms:modified>
</cp:coreProperties>
</file>